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\Documents\HOA\"/>
    </mc:Choice>
  </mc:AlternateContent>
  <xr:revisionPtr revIDLastSave="0" documentId="13_ncr:1_{ACE865CA-A36C-4318-9363-A1380F244208}" xr6:coauthVersionLast="47" xr6:coauthVersionMax="47" xr10:uidLastSave="{00000000-0000-0000-0000-000000000000}"/>
  <bookViews>
    <workbookView xWindow="-120" yWindow="-120" windowWidth="24240" windowHeight="13140" xr2:uid="{84AF01E0-AD63-44C8-BFEE-172729574A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1" l="1"/>
  <c r="B32" i="1"/>
  <c r="D32" i="1" s="1"/>
  <c r="D27" i="1"/>
  <c r="D23" i="1"/>
  <c r="D19" i="1"/>
  <c r="B12" i="1"/>
  <c r="B38" i="1" s="1"/>
  <c r="D12" i="1" l="1"/>
  <c r="D38" i="1" s="1"/>
  <c r="D41" i="1" s="1"/>
</calcChain>
</file>

<file path=xl/sharedStrings.xml><?xml version="1.0" encoding="utf-8"?>
<sst xmlns="http://schemas.openxmlformats.org/spreadsheetml/2006/main" count="36" uniqueCount="33">
  <si>
    <t>NEIGHBORHOODS</t>
  </si>
  <si>
    <t xml:space="preserve"> </t>
  </si>
  <si>
    <t xml:space="preserve">  </t>
  </si>
  <si>
    <t>ASSESSMENT</t>
  </si>
  <si>
    <t>NUMBER OF</t>
  </si>
  <si>
    <t>LOTS / UNITS</t>
  </si>
  <si>
    <t>PER LOT / UNIT</t>
  </si>
  <si>
    <t>Income Per Neighborhood</t>
  </si>
  <si>
    <t>NEIGHBORHOOD #1</t>
  </si>
  <si>
    <t>UNIT 3A</t>
  </si>
  <si>
    <t>UNIT 3B</t>
  </si>
  <si>
    <t>UNIT 4A/4B</t>
  </si>
  <si>
    <t>UNIT 5</t>
  </si>
  <si>
    <t>TOTAL</t>
  </si>
  <si>
    <t>NEIGHBORHOOD #2</t>
  </si>
  <si>
    <t>UNIT 1A</t>
  </si>
  <si>
    <t>UNIT 1B</t>
  </si>
  <si>
    <t>UNIT 2A</t>
  </si>
  <si>
    <t>UNIT2B</t>
  </si>
  <si>
    <t>NEIGHBORHOOD #3</t>
  </si>
  <si>
    <t>(OGDEN POINT at THE WHEATLANDS)</t>
  </si>
  <si>
    <t>MULTI-FAMILY (628)</t>
  </si>
  <si>
    <t>NEIGHBORHOOD #4</t>
  </si>
  <si>
    <t>(SUMMIT FIELDS at THE WHEATLANDS)</t>
  </si>
  <si>
    <t>MULTI-FAMILY (630)</t>
  </si>
  <si>
    <t>NEIGHBORHOOD #5</t>
  </si>
  <si>
    <t>UNIT 6</t>
  </si>
  <si>
    <t>UNIT 7</t>
  </si>
  <si>
    <t>NEIGHBORHOOD #6</t>
  </si>
  <si>
    <t>(OGDEN POINT at THE WHEATLANDS IV)</t>
  </si>
  <si>
    <t>MULTI-FAMILY (621)</t>
  </si>
  <si>
    <t>NEIGHBORHOOD TOTALS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</si>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</sst>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4" fontId="3" fillId="0" borderId="0" xfId="1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4" fontId="2" fillId="0" borderId="1" xfId="1" applyFont="1" applyBorder="1" applyAlignment="1">
      <alignment horizontal="center" wrapText="1"/>
    </xf>
    <xf numFmtId="164" fontId="0" fillId="0" borderId="0" xfId="0" applyNumberFormat="1"/>
    <xf numFmtId="0" fontId="3" fillId="0" borderId="0" xfId="0" applyFont="1" applyAlignment="1">
      <alignment horizontal="center"/>
    </xf>
    <xf numFmtId="164" fontId="3" fillId="0" borderId="0" xfId="1" applyNumberFormat="1" applyFont="1"/>
    <xf numFmtId="164" fontId="3" fillId="0" borderId="0" xfId="1" applyNumberFormat="1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/>
    <xf numFmtId="44" fontId="3" fillId="0" borderId="1" xfId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44" fontId="3" fillId="0" borderId="0" xfId="1" applyFont="1" applyBorder="1" applyAlignment="1">
      <alignment horizontal="center"/>
    </xf>
    <xf numFmtId="0" fontId="2" fillId="0" borderId="0" xfId="2" applyNumberFormat="1" applyFont="1" applyAlignment="1">
      <alignment horizontal="center"/>
    </xf>
    <xf numFmtId="44" fontId="2" fillId="0" borderId="0" xfId="1" applyFont="1" applyAlignment="1">
      <alignment horizontal="center"/>
    </xf>
    <xf numFmtId="44" fontId="3" fillId="0" borderId="2" xfId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0" fontId="3" fillId="0" borderId="0" xfId="2" applyNumberFormat="1" applyFont="1" applyBorder="1" applyAlignment="1">
      <alignment horizontal="center"/>
    </xf>
    <xf numFmtId="0" fontId="3" fillId="0" borderId="1" xfId="0" applyFont="1" applyBorder="1"/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/>
    <xf numFmtId="44" fontId="2" fillId="0" borderId="2" xfId="1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4" fillId="0" borderId="0" xfId="0" applyFont="1" applyAlignment="1">
      <alignment horizontal="left"/>
    </xf>
    <xf numFmtId="14" fontId="0" fillId="0" borderId="0" xfId="0" applyNumberFormat="1"/>
    <xf numFmtId="0" fontId="2" fillId="0" borderId="0" xfId="0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CCDB-C9E0-4951-B3DB-B011FE0674EE}">
  <sheetPr>
    <pageSetUpPr fitToPage="1"/>
  </sheetPr>
  <dimension ref="A1:D41"/>
  <sheetViews>
    <sheetView tabSelected="1" workbookViewId="0">
      <selection activeCell="D47" sqref="D47"/>
    </sheetView>
  </sheetViews>
  <sheetFormatPr defaultRowHeight="15" x14ac:dyDescent="0.25"/>
  <cols>
    <col min="1" max="1" width="27" customWidth="1"/>
    <col min="2" max="2" width="17.5703125" customWidth="1"/>
    <col min="3" max="3" width="19.140625" customWidth="1"/>
    <col min="4" max="4" width="20.28515625" customWidth="1"/>
  </cols>
  <sheetData>
    <row r="1" spans="1:4" x14ac:dyDescent="0.25">
      <c r="A1" s="35">
        <v>45224</v>
      </c>
    </row>
    <row r="4" spans="1:4" x14ac:dyDescent="0.25">
      <c r="A4" s="1" t="s">
        <v>0</v>
      </c>
      <c r="B4" s="2" t="s">
        <v>2</v>
      </c>
      <c r="C4" s="36">
        <v>2024</v>
      </c>
      <c r="D4" s="4"/>
    </row>
    <row r="5" spans="1:4" x14ac:dyDescent="0.25">
      <c r="A5" s="1"/>
      <c r="B5" s="2" t="s">
        <v>4</v>
      </c>
      <c r="C5" s="3" t="s">
        <v>3</v>
      </c>
      <c r="D5" s="4"/>
    </row>
    <row r="6" spans="1:4" ht="23.25" x14ac:dyDescent="0.25">
      <c r="A6" s="5"/>
      <c r="B6" s="6" t="s">
        <v>5</v>
      </c>
      <c r="C6" s="7" t="s">
        <v>6</v>
      </c>
      <c r="D6" s="8" t="s">
        <v>7</v>
      </c>
    </row>
    <row r="7" spans="1:4" x14ac:dyDescent="0.25">
      <c r="A7" s="1" t="s">
        <v>8</v>
      </c>
      <c r="C7" s="9"/>
      <c r="D7" s="4"/>
    </row>
    <row r="8" spans="1:4" x14ac:dyDescent="0.25">
      <c r="A8" s="5" t="s">
        <v>9</v>
      </c>
      <c r="B8" s="10">
        <v>41</v>
      </c>
      <c r="C8" s="11"/>
      <c r="D8" s="4"/>
    </row>
    <row r="9" spans="1:4" x14ac:dyDescent="0.25">
      <c r="A9" s="5" t="s">
        <v>10</v>
      </c>
      <c r="B9" s="10">
        <v>39</v>
      </c>
      <c r="C9" s="12"/>
      <c r="D9" s="4"/>
    </row>
    <row r="10" spans="1:4" x14ac:dyDescent="0.25">
      <c r="A10" s="5" t="s">
        <v>11</v>
      </c>
      <c r="B10" s="10">
        <v>84</v>
      </c>
      <c r="C10" s="11"/>
      <c r="D10" s="4"/>
    </row>
    <row r="11" spans="1:4" x14ac:dyDescent="0.25">
      <c r="A11" s="13" t="s">
        <v>12</v>
      </c>
      <c r="B11" s="14">
        <v>41</v>
      </c>
      <c r="C11" s="15"/>
      <c r="D11" s="16"/>
    </row>
    <row r="12" spans="1:4" x14ac:dyDescent="0.25">
      <c r="A12" s="1" t="s">
        <v>13</v>
      </c>
      <c r="B12" s="17">
        <f>SUM(B8:B11)</f>
        <v>205</v>
      </c>
      <c r="C12" s="18">
        <v>358.21</v>
      </c>
      <c r="D12" s="19">
        <f>SUM(B12*C12)</f>
        <v>73433.05</v>
      </c>
    </row>
    <row r="13" spans="1:4" x14ac:dyDescent="0.25">
      <c r="A13" s="1"/>
      <c r="B13" s="20"/>
      <c r="C13" s="18"/>
      <c r="D13" s="21"/>
    </row>
    <row r="14" spans="1:4" x14ac:dyDescent="0.25">
      <c r="A14" s="1" t="s">
        <v>14</v>
      </c>
      <c r="C14" s="9"/>
      <c r="D14" s="4"/>
    </row>
    <row r="15" spans="1:4" x14ac:dyDescent="0.25">
      <c r="A15" s="5" t="s">
        <v>15</v>
      </c>
      <c r="B15" s="10">
        <v>63</v>
      </c>
      <c r="C15" s="11"/>
      <c r="D15" s="4"/>
    </row>
    <row r="16" spans="1:4" x14ac:dyDescent="0.25">
      <c r="A16" s="5" t="s">
        <v>16</v>
      </c>
      <c r="B16" s="10">
        <v>63</v>
      </c>
      <c r="C16" s="11"/>
      <c r="D16" s="4"/>
    </row>
    <row r="17" spans="1:4" x14ac:dyDescent="0.25">
      <c r="A17" s="5" t="s">
        <v>17</v>
      </c>
      <c r="B17" s="10">
        <v>42</v>
      </c>
      <c r="C17" s="11"/>
      <c r="D17" s="4"/>
    </row>
    <row r="18" spans="1:4" x14ac:dyDescent="0.25">
      <c r="A18" s="13" t="s">
        <v>18</v>
      </c>
      <c r="B18" s="14">
        <v>46</v>
      </c>
      <c r="C18" s="15"/>
      <c r="D18" s="4"/>
    </row>
    <row r="19" spans="1:4" x14ac:dyDescent="0.25">
      <c r="A19" s="1" t="s">
        <v>13</v>
      </c>
      <c r="B19" s="2">
        <v>214</v>
      </c>
      <c r="C19" s="18">
        <v>244.4</v>
      </c>
      <c r="D19" s="22">
        <f>SUM(B19*C19)</f>
        <v>52301.599999999999</v>
      </c>
    </row>
    <row r="20" spans="1:4" x14ac:dyDescent="0.25">
      <c r="A20" s="5"/>
      <c r="B20" s="10"/>
      <c r="C20" s="12"/>
      <c r="D20" s="19"/>
    </row>
    <row r="21" spans="1:4" x14ac:dyDescent="0.25">
      <c r="A21" s="1" t="s">
        <v>19</v>
      </c>
      <c r="B21" s="10"/>
      <c r="C21" s="23"/>
      <c r="D21" s="4"/>
    </row>
    <row r="22" spans="1:4" x14ac:dyDescent="0.25">
      <c r="A22" s="5" t="s">
        <v>20</v>
      </c>
      <c r="B22" s="10"/>
      <c r="C22" s="23"/>
      <c r="D22" s="4" t="s">
        <v>1</v>
      </c>
    </row>
    <row r="23" spans="1:4" x14ac:dyDescent="0.25">
      <c r="A23" s="5" t="s">
        <v>21</v>
      </c>
      <c r="B23" s="2">
        <v>138</v>
      </c>
      <c r="C23" s="18">
        <v>154.32</v>
      </c>
      <c r="D23" s="19">
        <f>SUM(B23*C23)</f>
        <v>21296.16</v>
      </c>
    </row>
    <row r="24" spans="1:4" x14ac:dyDescent="0.25">
      <c r="A24" s="5"/>
      <c r="B24" s="2"/>
      <c r="C24" s="18"/>
      <c r="D24" s="4"/>
    </row>
    <row r="25" spans="1:4" x14ac:dyDescent="0.25">
      <c r="A25" s="1" t="s">
        <v>22</v>
      </c>
      <c r="B25" s="24"/>
      <c r="C25" s="12"/>
      <c r="D25" s="4"/>
    </row>
    <row r="26" spans="1:4" x14ac:dyDescent="0.25">
      <c r="A26" s="5" t="s">
        <v>23</v>
      </c>
      <c r="B26" s="24"/>
      <c r="C26" s="12"/>
      <c r="D26" s="4"/>
    </row>
    <row r="27" spans="1:4" x14ac:dyDescent="0.25">
      <c r="A27" s="5" t="s">
        <v>24</v>
      </c>
      <c r="B27" s="2">
        <v>190</v>
      </c>
      <c r="C27" s="18">
        <v>140.03</v>
      </c>
      <c r="D27" s="19">
        <f>SUM(B27*C27)</f>
        <v>26605.7</v>
      </c>
    </row>
    <row r="28" spans="1:4" x14ac:dyDescent="0.25">
      <c r="A28" s="5"/>
      <c r="B28" s="10"/>
      <c r="C28" s="23"/>
      <c r="D28" s="4"/>
    </row>
    <row r="29" spans="1:4" x14ac:dyDescent="0.25">
      <c r="A29" s="1" t="s">
        <v>25</v>
      </c>
      <c r="B29" s="10"/>
      <c r="C29" s="23"/>
      <c r="D29" s="4"/>
    </row>
    <row r="30" spans="1:4" x14ac:dyDescent="0.25">
      <c r="A30" s="5" t="s">
        <v>26</v>
      </c>
      <c r="B30" s="2">
        <v>77</v>
      </c>
      <c r="C30" s="23"/>
      <c r="D30" s="4"/>
    </row>
    <row r="31" spans="1:4" x14ac:dyDescent="0.25">
      <c r="A31" s="13" t="s">
        <v>27</v>
      </c>
      <c r="B31" s="6">
        <v>61</v>
      </c>
      <c r="C31" s="25"/>
      <c r="D31" s="19"/>
    </row>
    <row r="32" spans="1:4" x14ac:dyDescent="0.25">
      <c r="A32" s="1" t="s">
        <v>13</v>
      </c>
      <c r="B32" s="2">
        <f>SUM(B30:B31)</f>
        <v>138</v>
      </c>
      <c r="C32" s="18">
        <v>345.21</v>
      </c>
      <c r="D32" s="22">
        <f>SUM(B32*C32)</f>
        <v>47638.979999999996</v>
      </c>
    </row>
    <row r="33" spans="1:4" x14ac:dyDescent="0.25">
      <c r="A33" s="1"/>
      <c r="B33" s="2"/>
      <c r="C33" s="18"/>
      <c r="D33" s="21"/>
    </row>
    <row r="34" spans="1:4" x14ac:dyDescent="0.25">
      <c r="A34" s="1" t="s">
        <v>28</v>
      </c>
      <c r="B34" s="2"/>
      <c r="C34" s="18"/>
      <c r="D34" s="21"/>
    </row>
    <row r="35" spans="1:4" x14ac:dyDescent="0.25">
      <c r="A35" s="5" t="s">
        <v>29</v>
      </c>
      <c r="B35" s="2"/>
      <c r="C35" s="18"/>
      <c r="D35" s="21"/>
    </row>
    <row r="36" spans="1:4" x14ac:dyDescent="0.25">
      <c r="A36" s="5" t="s">
        <v>30</v>
      </c>
      <c r="B36" s="2">
        <v>106</v>
      </c>
      <c r="C36" s="18">
        <v>113.35</v>
      </c>
      <c r="D36" s="19">
        <f>SUM(B36*C36)</f>
        <v>12015.099999999999</v>
      </c>
    </row>
    <row r="37" spans="1:4" x14ac:dyDescent="0.25">
      <c r="A37" s="5"/>
      <c r="B37" s="2" t="s">
        <v>1</v>
      </c>
      <c r="C37" s="18"/>
      <c r="D37" s="21"/>
    </row>
    <row r="38" spans="1:4" x14ac:dyDescent="0.25">
      <c r="A38" s="26" t="s">
        <v>31</v>
      </c>
      <c r="B38" s="27">
        <f>SUM(B23:B27)+B12+B19+B32+B36</f>
        <v>991</v>
      </c>
      <c r="C38" s="28"/>
      <c r="D38" s="29">
        <f>SUM(D12:D37)</f>
        <v>233290.59</v>
      </c>
    </row>
    <row r="39" spans="1:4" x14ac:dyDescent="0.25">
      <c r="A39" s="30"/>
      <c r="B39" s="32"/>
      <c r="C39" s="33"/>
      <c r="D39" s="19"/>
    </row>
    <row r="40" spans="1:4" x14ac:dyDescent="0.25">
      <c r="A40" s="1" t="s">
        <v>32</v>
      </c>
      <c r="B40" s="31"/>
      <c r="C40" s="33"/>
      <c r="D40" s="21">
        <v>2900</v>
      </c>
    </row>
    <row r="41" spans="1:4" x14ac:dyDescent="0.25">
      <c r="A41" s="34"/>
      <c r="B41" s="31"/>
      <c r="C41" s="33"/>
      <c r="D41" s="21">
        <f>SUM(D38:D40)</f>
        <v>236190.59</v>
      </c>
    </row>
  </sheetData>
  <printOptions gridLines="1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Bill</cp:lastModifiedBy>
  <cp:lastPrinted>2023-10-25T16:10:55Z</cp:lastPrinted>
  <dcterms:created xsi:type="dcterms:W3CDTF">2023-10-25T16:00:06Z</dcterms:created>
  <dcterms:modified xsi:type="dcterms:W3CDTF">2023-10-25T21:41:53Z</dcterms:modified>
</cp:coreProperties>
</file>